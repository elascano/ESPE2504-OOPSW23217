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<sst xmlns="http://schemas.openxmlformats.org/spreadsheetml/2006/main" count="128" uniqueCount="126">
  <si>
    <t>REQUIREMENTS LIST</t>
  </si>
  <si>
    <t>NAME</t>
  </si>
  <si>
    <t>ITEM</t>
  </si>
  <si>
    <t>WHAT</t>
  </si>
  <si>
    <t>WHY</t>
  </si>
  <si>
    <t>NOMBRE</t>
  </si>
  <si>
    <t>QUÉ (NECESIDAD)</t>
  </si>
  <si>
    <t>POR QUÉ</t>
  </si>
  <si>
    <t>PARA QUÉ</t>
  </si>
  <si>
    <t>CÓMO (DESCRIPCIÓN DE TAREAS)</t>
  </si>
  <si>
    <t>PRUEBA (COMO SE VERIFICA)</t>
  </si>
  <si>
    <t>LOG IN</t>
  </si>
  <si>
    <t>REQ001</t>
  </si>
  <si>
    <t>The system shall incorporate an authentication system to manage access.</t>
  </si>
  <si>
    <t>INICIAR SESIÓN</t>
  </si>
  <si>
    <t>El programa debe incorporar un sistema de autenticación para gestionar el acceso entre Jefes y Subordinados.</t>
  </si>
  <si>
    <t>No existe un sistema que controle el acceso según roles/rangos.</t>
  </si>
  <si>
    <t>Controlar el acceso a funcionalidades dependiendo del usuario.</t>
  </si>
  <si>
    <t>- Mostrar una pantalla de inicio de sesión.
- Validar credenciales ingresadas.
- Asignar permisos según el rol.
- Redirigir al usuario a su interfaz correspondiente.</t>
  </si>
  <si>
    <t>- Intentar inicio de sesión con credenciales correctas e incorrectas.
- Verificar que los permisos asignados restringen el acceso correctamente.
- Probar redirección de usuarios según rol.</t>
  </si>
  <si>
    <t>USER REGISTER</t>
  </si>
  <si>
    <t>REQ002</t>
  </si>
  <si>
    <t>The system shall allow to register new users.</t>
  </si>
  <si>
    <t>REGISTRO DE USUARIOS</t>
  </si>
  <si>
    <t>El programa debe permitir el registro de usuarios.</t>
  </si>
  <si>
    <t>No se pueden crear nuevos usuarios con permisos predefinidos.</t>
  </si>
  <si>
    <t>Facilitar la administración del sistema.</t>
  </si>
  <si>
    <t>- Crear una opción de registro de usuarios.
- Permitir asignar un rol al crear un usuario.
- Guardar los datos en un archivo .csv</t>
  </si>
  <si>
    <t>- Crear usuarios con diferentes roles y validar que solo pueden acceder a sus respectivas funcionalidades.
- Intentar registrar un usuario sin rol asignado y validar el error.</t>
  </si>
  <si>
    <t>LOAD INFO / ACTIVITIES</t>
  </si>
  <si>
    <t>REQ003</t>
  </si>
  <si>
    <t>The system shall allow Superior Officers to upload information or create tasks to be completed.</t>
  </si>
  <si>
    <t>CARGA DE INFORMACIÓN</t>
  </si>
  <si>
    <t>El programa debe permitir a los Jefes subir información sobre las actividades a realizar.</t>
  </si>
  <si>
    <t>No existe una manera de ingresar datos al sistema.</t>
  </si>
  <si>
    <t>Mantener el sistema actualizado acorde al desarrollo de la actividad.</t>
  </si>
  <si>
    <t>Crear un apartado de actividades
Ingresar las actividades
Guardar los datos de las actividades ingresados</t>
  </si>
  <si>
    <t>- Subir diferentes tipos de archivos y validar que se almacenen correctamente.
- Intentar subir datos inválidos y verificar que el sistema los rechaza.</t>
  </si>
  <si>
    <t>VIEW INFO / ACTIVITIES</t>
  </si>
  <si>
    <t>REQ004</t>
  </si>
  <si>
    <t>The system shall allow to view the information that was uploaded.</t>
  </si>
  <si>
    <t>VER INFORMACIÓN</t>
  </si>
  <si>
    <t>El programa debe permitir visualizar los datos ingresados.</t>
  </si>
  <si>
    <t>La información no tiene un acceso del todo claro y estructurado.</t>
  </si>
  <si>
    <t>Facilitar el acceso y comprensión de la información.</t>
  </si>
  <si>
    <t>- Crear tablas organizadas y filtros de búsqueda. 
- Permitir paginación para manejar grandes volúmenes de datos.
- Incluir opciones de ordenamiento y categorización.</t>
  </si>
  <si>
    <t>- Verificar que la información se visualiza correctamente con paginación, filtros y ordenamiento.
- Probar la interfaz con diferentes volúmenes de datos.</t>
  </si>
  <si>
    <t>MODIFIE INFO/ ACTIVITIES</t>
  </si>
  <si>
    <t>REQ005</t>
  </si>
  <si>
    <t>The system shall allow to modify information related to users.</t>
  </si>
  <si>
    <t>MODIFICAR INFORMACIÓN</t>
  </si>
  <si>
    <t>El programa debe permitir modificar la información relacionada con los usuarios.</t>
  </si>
  <si>
    <t>Puede llegar a existir errores en la información cargada o cambios en la misma.</t>
  </si>
  <si>
    <t>Garantizar la precisión de los datos.</t>
  </si>
  <si>
    <t>- Crear un boton para editar cada registro.
- Validar cambios antes de guardarlos.
- Confirmar los cambios para evitar errores accidentales.</t>
  </si>
  <si>
    <t>- Editar registros y validar que los cambios se guarden correctamente.
- Eliminar datos y confirmar antes de guardar el cambio.
- Intentar modificar/eliminar sin permisos adecuados.</t>
  </si>
  <si>
    <t>DELETE INFO / ACTIVITIES</t>
  </si>
  <si>
    <t>REQ006</t>
  </si>
  <si>
    <t>The system shall allow to delete information related to users.</t>
  </si>
  <si>
    <t>ELIMINAR INFORMACIÓN</t>
  </si>
  <si>
    <t>El programa debe permitir eliminar información relacionada con el usuario.</t>
  </si>
  <si>
    <t>No existe una manera de eliminar informacion ingresada.</t>
  </si>
  <si>
    <t>Controlar la informacion erronea que se ingresa incorrectamente.</t>
  </si>
  <si>
    <t>- Crear un boton para eliminar el registro.
- Validar cambios antes de guardarlos.
- Confirmar eliminaciones para evitar errores accidentales.</t>
  </si>
  <si>
    <t>- Editar registros y validar que los cambios se guarden correctamente.
- Eliminar datos y confirmar antes de guardar el cambio.
- Modificar/eliminar información sin los permisos adecuados.</t>
  </si>
  <si>
    <t>CREATE SCHEDULES</t>
  </si>
  <si>
    <t>REQ007</t>
  </si>
  <si>
    <t>The system shall have an option to assign schedules and events.</t>
  </si>
  <si>
    <t>ASIGNAR HORARIOS</t>
  </si>
  <si>
    <t>El programa debe permitir la opción de asignar horarios y eventos en un horario personal.</t>
  </si>
  <si>
    <t>Ineficiencia en la gestión del tiempo.</t>
  </si>
  <si>
    <t>Facilitar la organización personal y mejorar la gestión del tiempo.</t>
  </si>
  <si>
    <t>- Asignar actividades en un rango horario creado previamente</t>
  </si>
  <si>
    <t>VIEW STOPWATCH</t>
  </si>
  <si>
    <t>REQ008</t>
  </si>
  <si>
    <t>The system shall show a stopwatch (or more than one) to specific events.</t>
  </si>
  <si>
    <t>VISUALIZAR TEMPORIZADOR</t>
  </si>
  <si>
    <t>El programa debe mostrar temporizador/es para ciertos eventos.</t>
  </si>
  <si>
    <t>No se puede crear un temporizador para eventos</t>
  </si>
  <si>
    <t>Facilitar la administración del tiempo</t>
  </si>
  <si>
    <t>Crear un temporizador
Permitir seleccionar un tiempo
Avisar cuando el tiempo llegue a cero</t>
  </si>
  <si>
    <t>NEWS SECTION</t>
  </si>
  <si>
    <t>REQ009</t>
  </si>
  <si>
    <t>The system shall show a news/important info section (chosen by the Superior Officers).</t>
  </si>
  <si>
    <t>VENTANA DE NOVEDADES</t>
  </si>
  <si>
    <t>El programa debe mostrar una sección con novedades/información importante seleccionadas por los Jefes.</t>
  </si>
  <si>
    <t>No se puede crear ventanas emergentes de novedades para la visualización e información diaria</t>
  </si>
  <si>
    <t>Ayudar a mejorar la comunicación de la información</t>
  </si>
  <si>
    <t>El Jefe puede agregar novedades en una ventana diriamente</t>
  </si>
  <si>
    <t>PRIORITY SELECTION</t>
  </si>
  <si>
    <t>REQ010</t>
  </si>
  <si>
    <t>The system shall allow to assign priorities to activities (eg. from HIGH to LOW)</t>
  </si>
  <si>
    <t>ASIGNACIÓN DE PRIORIDADES</t>
  </si>
  <si>
    <t>El programa debe permitir marcar actividades del horario dependiendo la importancia</t>
  </si>
  <si>
    <t>No se puede establecer prioridades para señalar actividades.</t>
  </si>
  <si>
    <t>Mejorar la administración de tareas tanto personales como grupales</t>
  </si>
  <si>
    <t>1. Mostrar la lista de actividades programadas.
2. Seleccionar una actividad específica.
3. Asignar un nivel de prioridad, puede ser: alta, media, baja.
4. Guardar los cambios realizados.
5. Mostrar visualmente la prioridad asignada mediante etiquetas.</t>
  </si>
  <si>
    <t>1. Asignar diferentes niveles de prioridad a múltiples actividades.
2. Comprobar que las prioridades se reflejan visualmente en la interfaz (etiquetas).
3. Probar filtros para mostrar solo actividades con cierta prioridad.</t>
  </si>
  <si>
    <t>SHOW MAPS REPOSITORY</t>
  </si>
  <si>
    <t>REQ011</t>
  </si>
  <si>
    <t>The system shall take maps from a local repo and show them.</t>
  </si>
  <si>
    <t>MOSTRAR REPOSITORIO MAPAS</t>
  </si>
  <si>
    <t>El programa debe mostrar una serie de mapas extraídos de un repositorio local.</t>
  </si>
  <si>
    <t>No se puede interactuar con un apartado de mapas</t>
  </si>
  <si>
    <t>Señalar y organizar cualquier novedad sucedida en puntos específicos</t>
  </si>
  <si>
    <t xml:space="preserve">Crear un respositorio de mapas a nivel nacional.
</t>
  </si>
  <si>
    <t>DISTANCE CONVERTER</t>
  </si>
  <si>
    <t>REQ012</t>
  </si>
  <si>
    <t>The system shall include a distance and areas converter (calculator).</t>
  </si>
  <si>
    <t>CONVERSOR DISTANCIAS</t>
  </si>
  <si>
    <t>El programa debe tener una función para convertir unidades de distancia y superficie.</t>
  </si>
  <si>
    <t>No se tiene un sistema de operaciones de conversión interno</t>
  </si>
  <si>
    <t>Agilitar el proceso de notificación de problemas lejanos con datos numéricos exactos</t>
  </si>
  <si>
    <t>Mostrar una ventana de ingreso de datos.
Ingresar el dato numérico que se va a camiar.
Cargar la conversión.</t>
  </si>
  <si>
    <t>HISTORIA DE USUARIO (HU)</t>
  </si>
  <si>
    <t>USUARIO</t>
  </si>
  <si>
    <t>STATUS</t>
  </si>
  <si>
    <t>TIEMPO</t>
  </si>
  <si>
    <t>PRIORIDAD</t>
  </si>
  <si>
    <t>PROG. RESP</t>
  </si>
  <si>
    <t>QUE</t>
  </si>
  <si>
    <t>PARA QUE</t>
  </si>
  <si>
    <t>COMO</t>
  </si>
  <si>
    <t>NOMBRE HISTORIA</t>
  </si>
  <si>
    <t>PRUEBA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</si>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</sst>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b/>
      <i/>
      <u/>
      <sz val="11.0"/>
      <color rgb="FF980000"/>
      <name val="Verdana"/>
    </font>
    <font>
      <sz val="11.0"/>
      <color theme="1"/>
      <name val="Verdana"/>
    </font>
    <font>
      <b/>
      <i/>
      <sz val="11.0"/>
      <color rgb="FFFFFFFF"/>
      <name val="Verdana"/>
    </font>
    <font>
      <color theme="1"/>
      <name val="Arial"/>
      <scheme val="minor"/>
    </font>
    <font>
      <sz val="11.0"/>
      <color rgb="FF000000"/>
      <name val="Verdana"/>
    </font>
    <font>
      <sz val="11.0"/>
      <color rgb="FF3C78D8"/>
      <name val="Verdana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/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0" fillId="0" fontId="2" numFmtId="15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Font="1"/>
    <xf borderId="3" fillId="3" fontId="9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0" fillId="0" fontId="7" numFmtId="0" xfId="0" applyAlignment="1" applyFont="1">
      <alignment horizontal="center" shrinkToFit="0" vertical="center" wrapText="1"/>
    </xf>
    <xf borderId="6" fillId="3" fontId="11" numFmtId="0" xfId="0" applyBorder="1" applyFont="1"/>
    <xf borderId="7" fillId="3" fontId="7" numFmtId="0" xfId="0" applyAlignment="1" applyBorder="1" applyFont="1">
      <alignment horizontal="left" shrinkToFit="0" vertical="center" wrapText="1"/>
    </xf>
    <xf borderId="7" fillId="3" fontId="8" numFmtId="0" xfId="0" applyBorder="1" applyFont="1"/>
    <xf borderId="7" fillId="3" fontId="11" numFmtId="0" xfId="0" applyBorder="1" applyFont="1"/>
    <xf borderId="8" fillId="3" fontId="11" numFmtId="0" xfId="0" applyBorder="1" applyFont="1"/>
    <xf borderId="9" fillId="3" fontId="11" numFmtId="0" xfId="0" applyBorder="1" applyFont="1"/>
    <xf borderId="1" fillId="4" fontId="12" numFmtId="0" xfId="0" applyAlignment="1" applyBorder="1" applyFill="1" applyFont="1">
      <alignment horizontal="center" vertical="center"/>
    </xf>
    <xf borderId="10" fillId="3" fontId="13" numFmtId="0" xfId="0" applyAlignment="1" applyBorder="1" applyFont="1">
      <alignment vertical="center"/>
    </xf>
    <xf borderId="3" fillId="4" fontId="12" numFmtId="0" xfId="0" applyAlignment="1" applyBorder="1" applyFont="1">
      <alignment horizontal="center" vertical="center"/>
    </xf>
    <xf borderId="10" fillId="3" fontId="11" numFmtId="0" xfId="0" applyBorder="1" applyFont="1"/>
    <xf borderId="11" fillId="3" fontId="11" numFmtId="0" xfId="0" applyBorder="1" applyFont="1"/>
    <xf borderId="1" fillId="5" fontId="14" numFmtId="0" xfId="0" applyAlignment="1" applyBorder="1" applyFill="1" applyFont="1">
      <alignment horizontal="center" readingOrder="0" vertical="center"/>
    </xf>
    <xf borderId="10" fillId="3" fontId="8" numFmtId="0" xfId="0" applyAlignment="1" applyBorder="1" applyFont="1">
      <alignment shrinkToFit="0" vertical="center" wrapText="1"/>
    </xf>
    <xf borderId="3" fillId="5" fontId="8" numFmtId="0" xfId="0" applyAlignment="1" applyBorder="1" applyFont="1">
      <alignment horizontal="center" vertical="center"/>
    </xf>
    <xf borderId="10" fillId="3" fontId="8" numFmtId="0" xfId="0" applyAlignment="1" applyBorder="1" applyFont="1">
      <alignment vertical="center"/>
    </xf>
    <xf borderId="10" fillId="3" fontId="14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vertical="center"/>
    </xf>
    <xf borderId="12" fillId="6" fontId="12" numFmtId="0" xfId="0" applyAlignment="1" applyBorder="1" applyFill="1" applyFont="1">
      <alignment horizontal="center" vertical="center"/>
    </xf>
    <xf borderId="13" fillId="5" fontId="8" numFmtId="0" xfId="0" applyAlignment="1" applyBorder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0" fontId="10" numFmtId="0" xfId="0" applyBorder="1" applyFont="1"/>
    <xf borderId="13" fillId="7" fontId="15" numFmtId="0" xfId="0" applyAlignment="1" applyBorder="1" applyFill="1" applyFont="1">
      <alignment horizontal="center" vertical="center"/>
    </xf>
    <xf borderId="23" fillId="8" fontId="14" numFmtId="0" xfId="0" applyAlignment="1" applyBorder="1" applyFill="1" applyFont="1">
      <alignment horizontal="center" vertical="center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13" fillId="4" fontId="12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center" vertical="center"/>
    </xf>
    <xf borderId="29" fillId="3" fontId="11" numFmtId="0" xfId="0" applyBorder="1" applyFont="1"/>
    <xf borderId="30" fillId="3" fontId="11" numFmtId="0" xfId="0" applyBorder="1" applyFont="1"/>
    <xf borderId="31" fillId="3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8.63"/>
    <col customWidth="1" min="2" max="2" width="9.38"/>
    <col customWidth="1" min="3" max="6" width="18.63"/>
    <col customWidth="1" min="7" max="7" width="25.5"/>
    <col customWidth="1" min="8" max="8" width="25.25"/>
    <col customWidth="1" min="9" max="9" width="25.13"/>
    <col customWidth="1" min="10" max="10" width="46.13"/>
    <col customWidth="1" hidden="1" min="11" max="11" width="44.88"/>
  </cols>
  <sheetData>
    <row r="1" ht="28.5" customHeight="1">
      <c r="A1" s="1" t="s">
        <v>0</v>
      </c>
      <c r="C1" s="1"/>
      <c r="D1" s="1"/>
      <c r="E1" s="2"/>
      <c r="F1" s="1"/>
      <c r="G1" s="1"/>
      <c r="H1" s="1"/>
      <c r="I1" s="1"/>
      <c r="J1" s="1"/>
      <c r="K1" s="1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8.5" customHeight="1">
      <c r="A2" s="4" t="s">
        <v>1</v>
      </c>
      <c r="B2" s="4" t="s">
        <v>2</v>
      </c>
      <c r="C2" s="4" t="s">
        <v>3</v>
      </c>
      <c r="D2" s="4" t="s">
        <v>4</v>
      </c>
      <c r="E2" s="2"/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91.5" customHeight="1">
      <c r="A3" s="7" t="s">
        <v>11</v>
      </c>
      <c r="B3" s="8" t="s">
        <v>12</v>
      </c>
      <c r="C3" s="9" t="s">
        <v>13</v>
      </c>
      <c r="D3" s="9"/>
      <c r="E3" s="2"/>
      <c r="F3" s="9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91.5" customHeight="1">
      <c r="A4" s="9" t="s">
        <v>20</v>
      </c>
      <c r="B4" s="8" t="s">
        <v>21</v>
      </c>
      <c r="C4" s="9" t="s">
        <v>22</v>
      </c>
      <c r="D4" s="9"/>
      <c r="E4" s="2"/>
      <c r="F4" s="9" t="s">
        <v>23</v>
      </c>
      <c r="G4" s="11" t="s">
        <v>24</v>
      </c>
      <c r="H4" s="11" t="s">
        <v>25</v>
      </c>
      <c r="I4" s="11" t="s">
        <v>26</v>
      </c>
      <c r="J4" s="10" t="s">
        <v>27</v>
      </c>
      <c r="K4" s="10" t="s">
        <v>28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91.5" customHeight="1">
      <c r="A5" s="12" t="s">
        <v>29</v>
      </c>
      <c r="B5" s="13" t="s">
        <v>30</v>
      </c>
      <c r="C5" s="12" t="s">
        <v>31</v>
      </c>
      <c r="D5" s="12"/>
      <c r="E5" s="2"/>
      <c r="F5" s="12" t="s">
        <v>32</v>
      </c>
      <c r="G5" s="10" t="s">
        <v>33</v>
      </c>
      <c r="H5" s="11" t="s">
        <v>34</v>
      </c>
      <c r="I5" s="10" t="s">
        <v>35</v>
      </c>
      <c r="J5" s="9" t="s">
        <v>36</v>
      </c>
      <c r="K5" s="10" t="s">
        <v>37</v>
      </c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91.5" customHeight="1">
      <c r="A6" s="12" t="s">
        <v>38</v>
      </c>
      <c r="B6" s="13" t="s">
        <v>39</v>
      </c>
      <c r="C6" s="12" t="s">
        <v>40</v>
      </c>
      <c r="D6" s="12"/>
      <c r="E6" s="2"/>
      <c r="F6" s="12" t="s">
        <v>41</v>
      </c>
      <c r="G6" s="10" t="s">
        <v>42</v>
      </c>
      <c r="H6" s="10" t="s">
        <v>43</v>
      </c>
      <c r="I6" s="11" t="s">
        <v>44</v>
      </c>
      <c r="J6" s="10" t="s">
        <v>45</v>
      </c>
      <c r="K6" s="10" t="s">
        <v>46</v>
      </c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91.5" customHeight="1">
      <c r="A7" s="12" t="s">
        <v>47</v>
      </c>
      <c r="B7" s="13" t="s">
        <v>48</v>
      </c>
      <c r="C7" s="12" t="s">
        <v>49</v>
      </c>
      <c r="D7" s="12"/>
      <c r="E7" s="2"/>
      <c r="F7" s="12" t="s">
        <v>50</v>
      </c>
      <c r="G7" s="11" t="s">
        <v>51</v>
      </c>
      <c r="H7" s="10" t="s">
        <v>52</v>
      </c>
      <c r="I7" s="11" t="s">
        <v>53</v>
      </c>
      <c r="J7" s="10" t="s">
        <v>54</v>
      </c>
      <c r="K7" s="10" t="s">
        <v>55</v>
      </c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91.5" customHeight="1">
      <c r="A8" s="12" t="s">
        <v>56</v>
      </c>
      <c r="B8" s="13" t="s">
        <v>57</v>
      </c>
      <c r="C8" s="12" t="s">
        <v>58</v>
      </c>
      <c r="D8" s="12"/>
      <c r="E8" s="2"/>
      <c r="F8" s="12" t="s">
        <v>59</v>
      </c>
      <c r="G8" s="2" t="s">
        <v>60</v>
      </c>
      <c r="H8" s="11" t="s">
        <v>61</v>
      </c>
      <c r="I8" s="11" t="s">
        <v>62</v>
      </c>
      <c r="J8" s="10" t="s">
        <v>63</v>
      </c>
      <c r="K8" s="10" t="s">
        <v>64</v>
      </c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91.5" customHeight="1">
      <c r="A9" s="10" t="s">
        <v>65</v>
      </c>
      <c r="B9" s="11" t="s">
        <v>66</v>
      </c>
      <c r="C9" s="10" t="s">
        <v>67</v>
      </c>
      <c r="D9" s="10"/>
      <c r="E9" s="2"/>
      <c r="F9" s="10" t="s">
        <v>68</v>
      </c>
      <c r="G9" s="10" t="s">
        <v>69</v>
      </c>
      <c r="H9" s="10" t="s">
        <v>70</v>
      </c>
      <c r="I9" s="10" t="s">
        <v>71</v>
      </c>
      <c r="J9" s="10" t="s">
        <v>72</v>
      </c>
      <c r="K9" s="11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91.5" customHeight="1">
      <c r="A10" s="10" t="s">
        <v>73</v>
      </c>
      <c r="B10" s="11" t="s">
        <v>74</v>
      </c>
      <c r="C10" s="10" t="s">
        <v>75</v>
      </c>
      <c r="D10" s="10"/>
      <c r="E10" s="2"/>
      <c r="F10" s="10" t="s">
        <v>76</v>
      </c>
      <c r="G10" s="10" t="s">
        <v>77</v>
      </c>
      <c r="H10" s="10" t="s">
        <v>78</v>
      </c>
      <c r="I10" s="10" t="s">
        <v>79</v>
      </c>
      <c r="J10" s="10" t="s">
        <v>80</v>
      </c>
      <c r="K10" s="11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91.5" customHeight="1">
      <c r="A11" s="10" t="s">
        <v>81</v>
      </c>
      <c r="B11" s="11" t="s">
        <v>82</v>
      </c>
      <c r="C11" s="10" t="s">
        <v>83</v>
      </c>
      <c r="D11" s="10"/>
      <c r="E11" s="2"/>
      <c r="F11" s="10" t="s">
        <v>84</v>
      </c>
      <c r="G11" s="10" t="s">
        <v>85</v>
      </c>
      <c r="H11" s="10" t="s">
        <v>86</v>
      </c>
      <c r="I11" s="10" t="s">
        <v>87</v>
      </c>
      <c r="J11" s="10" t="s">
        <v>88</v>
      </c>
      <c r="K11" s="11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91.5" customHeight="1">
      <c r="A12" s="10" t="s">
        <v>89</v>
      </c>
      <c r="B12" s="10" t="s">
        <v>90</v>
      </c>
      <c r="C12" s="10" t="s">
        <v>91</v>
      </c>
      <c r="D12" s="10"/>
      <c r="E12" s="2"/>
      <c r="F12" s="10" t="s">
        <v>92</v>
      </c>
      <c r="G12" s="10" t="s">
        <v>93</v>
      </c>
      <c r="H12" s="10" t="s">
        <v>94</v>
      </c>
      <c r="I12" s="10" t="s">
        <v>95</v>
      </c>
      <c r="J12" s="10" t="s">
        <v>96</v>
      </c>
      <c r="K12" s="10" t="s">
        <v>97</v>
      </c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91.5" customHeight="1">
      <c r="A13" s="10" t="s">
        <v>98</v>
      </c>
      <c r="B13" s="11" t="s">
        <v>99</v>
      </c>
      <c r="C13" s="10" t="s">
        <v>100</v>
      </c>
      <c r="D13" s="10"/>
      <c r="E13" s="2"/>
      <c r="F13" s="10" t="s">
        <v>101</v>
      </c>
      <c r="G13" s="10" t="s">
        <v>102</v>
      </c>
      <c r="H13" s="10" t="s">
        <v>103</v>
      </c>
      <c r="I13" s="10" t="s">
        <v>104</v>
      </c>
      <c r="J13" s="10" t="s">
        <v>105</v>
      </c>
      <c r="K13" s="11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91.5" customHeight="1">
      <c r="A14" s="10" t="s">
        <v>106</v>
      </c>
      <c r="B14" s="10" t="s">
        <v>107</v>
      </c>
      <c r="C14" s="10" t="s">
        <v>108</v>
      </c>
      <c r="D14" s="10"/>
      <c r="E14" s="2"/>
      <c r="F14" s="10" t="s">
        <v>109</v>
      </c>
      <c r="G14" s="10" t="s">
        <v>110</v>
      </c>
      <c r="H14" s="10" t="s">
        <v>111</v>
      </c>
      <c r="I14" s="10" t="s">
        <v>112</v>
      </c>
      <c r="J14" s="10" t="s">
        <v>113</v>
      </c>
      <c r="K14" s="11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91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91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91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91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91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91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91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91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91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91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91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91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91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91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91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91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91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91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91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91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91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91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91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91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91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91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91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9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91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91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91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91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91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91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91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9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91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91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91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91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91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91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91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91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91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91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91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91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91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9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91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91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91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91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91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91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91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91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91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9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91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91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91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91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91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91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91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91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91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91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91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91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91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9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91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9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91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91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91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91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91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91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91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91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9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91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91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9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91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9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91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91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9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91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9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91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9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91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91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91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9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91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91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91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91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9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9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91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91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91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9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91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91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9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9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9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9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91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91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91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9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91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9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91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91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91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9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9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9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91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91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91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91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91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9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91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91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91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9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91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91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91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9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91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9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91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9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91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91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91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9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91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9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91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91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91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9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91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9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91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91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91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91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91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9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91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9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91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91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9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9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91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9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91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91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91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9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91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91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91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9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91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91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91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9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91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91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91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9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91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9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91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9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91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91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91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91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91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9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91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9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91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9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9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91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91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9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91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91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91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91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91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9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91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9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91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91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91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91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91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9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91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91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91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91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9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9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91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91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91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91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91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9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91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91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91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9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91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9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91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9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91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91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91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9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91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9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9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91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91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91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91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9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91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9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91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9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91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9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91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91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91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91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91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91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91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91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91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9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9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9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91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91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91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91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91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91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91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91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91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9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91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9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91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91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91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91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91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91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91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91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91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91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91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9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91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91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91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91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91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91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91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91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91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91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91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91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91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91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91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91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91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9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91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91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91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91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91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91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91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91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91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91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91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9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91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9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91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91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91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91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91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9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91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91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91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91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91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91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91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91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91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91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91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91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91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9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91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91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91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91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91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9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91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91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91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91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91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91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91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91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91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91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91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91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91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9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91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91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91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91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91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91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91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91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91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91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91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91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91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91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91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91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91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91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91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91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91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91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91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91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91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91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91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91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91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91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91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91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91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91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91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91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9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91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91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91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91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91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91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91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91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91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91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91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91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91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9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91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91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91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91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91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91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91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91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91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91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91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91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91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91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91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91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91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91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91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91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91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91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91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91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9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91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91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91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91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91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9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91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9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91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9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91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91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91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9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91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91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91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91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91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91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9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9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91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9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91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91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91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91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91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91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91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9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91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91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91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9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91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91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91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9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91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91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91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91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91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91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91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9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91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9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91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91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91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9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9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91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91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91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91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91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91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91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91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9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91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91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91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91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9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91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91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91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91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91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91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91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91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9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91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91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91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91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91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91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91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9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9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91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91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91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91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9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91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91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91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91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91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91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91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9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9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91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91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91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91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9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91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91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91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91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91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9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91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91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91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91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91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91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91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9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91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91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91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91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91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91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9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91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91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91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91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91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91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91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91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91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91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9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9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91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91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91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91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91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91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91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91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91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91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91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91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9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91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91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9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91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91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9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91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91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91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9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91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91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91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91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91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91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91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91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91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91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91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91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91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9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91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91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91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91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9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91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91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91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91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91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91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91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91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9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91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91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91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91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9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91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91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91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91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91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91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91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91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9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91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91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91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91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91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91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91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91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91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91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91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91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91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9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91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9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91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91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91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91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91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91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91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91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91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91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91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9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91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9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91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91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91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91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91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91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91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91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91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91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91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9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91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91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91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91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91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91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91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91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91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91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91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91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91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9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91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91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91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91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9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91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91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91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91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91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91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91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91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91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91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91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91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91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9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91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91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91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91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91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91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91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91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91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91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9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91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91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91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91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91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91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91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91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91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91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91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91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91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91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9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91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91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91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91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91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91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91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91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9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91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91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91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91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91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9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91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91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91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91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91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91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91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9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91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91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91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91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91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91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9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91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91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91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91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91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91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91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91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91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91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91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91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91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91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9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91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91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91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91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91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91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91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91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91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91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91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91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91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9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9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91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91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91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91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91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91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91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91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91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91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91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91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9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91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9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91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91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91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91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91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91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91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91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91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91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91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91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91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9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91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91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91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91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91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91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91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91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91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91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9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91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91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9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91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91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91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91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91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91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91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91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91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91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9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91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91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9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91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91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91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91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91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91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91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91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91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91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91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91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91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9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91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91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91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91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91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91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91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91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91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91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9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91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91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9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91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91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91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91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91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91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91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91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91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91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9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91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91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9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91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91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91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91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91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91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91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91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91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91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91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91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91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91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91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91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91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91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91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91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91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9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91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91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91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91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91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9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91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91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91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91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91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91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91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9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91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91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91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91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91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91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91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91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91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91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91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91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91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91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91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91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91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91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91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91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91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91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91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91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91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91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91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91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9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91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91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91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91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91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</sheetData>
  <mergeCells count="1">
    <mergeCell ref="A1:B1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</cols>
  <sheetData>
    <row r="2" ht="15.0" hidden="1" customHeight="1"/>
    <row r="3" ht="15.0" hidden="1" customHeight="1"/>
    <row r="4" hidden="1">
      <c r="C4" s="14"/>
      <c r="D4" s="14"/>
      <c r="E4" s="14"/>
      <c r="F4" s="15"/>
    </row>
    <row r="5" hidden="1">
      <c r="C5" s="14"/>
      <c r="D5" s="14"/>
      <c r="E5" s="14"/>
      <c r="F5" s="15"/>
    </row>
    <row r="6" ht="39.75" customHeight="1">
      <c r="B6" s="16" t="s">
        <v>114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ht="9.75" customHeight="1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ht="30.0" customHeight="1">
      <c r="B9" s="25"/>
      <c r="C9" s="26" t="s">
        <v>2</v>
      </c>
      <c r="D9" s="27"/>
      <c r="E9" s="28" t="s">
        <v>115</v>
      </c>
      <c r="F9" s="18"/>
      <c r="G9" s="27"/>
      <c r="H9" s="28" t="s">
        <v>116</v>
      </c>
      <c r="I9" s="18"/>
      <c r="J9" s="29"/>
      <c r="K9" s="29"/>
      <c r="L9" s="29"/>
      <c r="M9" s="29"/>
      <c r="N9" s="29"/>
      <c r="O9" s="29"/>
      <c r="P9" s="30"/>
    </row>
    <row r="10" ht="30.0" customHeight="1">
      <c r="B10" s="25"/>
      <c r="C10" s="31" t="s">
        <v>30</v>
      </c>
      <c r="D10" s="32"/>
      <c r="E10" s="33" t="str">
        <f>VLOOKUP(C10,'Formato descripción HU'!B3:K8,5,0)</f>
        <v>CARGA DE INFORMACIÓN</v>
      </c>
      <c r="F10" s="18"/>
      <c r="G10" s="34"/>
      <c r="H10" s="33" t="str">
        <f>VLOOKUP(C10,'Formato descripción HU'!B3:K8,11,0)</f>
        <v>#REF!</v>
      </c>
      <c r="I10" s="18"/>
      <c r="J10" s="34"/>
      <c r="K10" s="29"/>
      <c r="L10" s="29"/>
      <c r="M10" s="29"/>
      <c r="N10" s="29"/>
      <c r="O10" s="29"/>
      <c r="P10" s="30"/>
    </row>
    <row r="11" ht="9.75" customHeight="1">
      <c r="B11" s="25"/>
      <c r="C11" s="35"/>
      <c r="D11" s="32"/>
      <c r="E11" s="36"/>
      <c r="F11" s="36"/>
      <c r="G11" s="34"/>
      <c r="H11" s="36"/>
      <c r="I11" s="36"/>
      <c r="J11" s="34"/>
      <c r="K11" s="36"/>
      <c r="L11" s="36"/>
      <c r="M11" s="29"/>
      <c r="N11" s="36"/>
      <c r="O11" s="36"/>
      <c r="P11" s="30"/>
    </row>
    <row r="12" ht="30.0" customHeight="1">
      <c r="B12" s="25"/>
      <c r="C12" s="26" t="s">
        <v>117</v>
      </c>
      <c r="D12" s="32"/>
      <c r="E12" s="28" t="s">
        <v>118</v>
      </c>
      <c r="F12" s="18"/>
      <c r="G12" s="34"/>
      <c r="H12" s="28" t="s">
        <v>119</v>
      </c>
      <c r="I12" s="18"/>
      <c r="J12" s="34"/>
      <c r="K12" s="36"/>
      <c r="L12" s="36"/>
      <c r="M12" s="29"/>
      <c r="N12" s="36"/>
      <c r="O12" s="36"/>
      <c r="P12" s="30"/>
    </row>
    <row r="13" ht="30.0" customHeight="1">
      <c r="B13" s="25"/>
      <c r="C13" s="37" t="str">
        <f>VLOOKUP('Historia de Usuario'!C10,'Formato descripción HU'!B3:K8,8,0)</f>
        <v>Mantener el sistema actualizado acorde al desarrollo de la actividad.</v>
      </c>
      <c r="D13" s="32"/>
      <c r="E13" s="33" t="str">
        <f>VLOOKUP(C10,'Formato descripción HU'!B3:K8,10,0)</f>
        <v>- Subir diferentes tipos de archivos y validar que se almacenen correctamente.
- Intentar subir datos inválidos y verificar que el sistema los rechaza.</v>
      </c>
      <c r="F13" s="18"/>
      <c r="G13" s="34"/>
      <c r="H13" s="33" t="str">
        <f>VLOOKUP(C10,'Formato descripción HU'!B3:K8,7,0)</f>
        <v>No existe una manera de ingresar datos al sistema.</v>
      </c>
      <c r="I13" s="18"/>
      <c r="J13" s="34"/>
      <c r="K13" s="36"/>
      <c r="L13" s="36"/>
      <c r="M13" s="29"/>
      <c r="N13" s="36"/>
      <c r="O13" s="36"/>
      <c r="P13" s="30"/>
    </row>
    <row r="14" ht="9.75" customHeight="1">
      <c r="B14" s="25"/>
      <c r="C14" s="29"/>
      <c r="D14" s="32"/>
      <c r="E14" s="29"/>
      <c r="F14" s="29"/>
      <c r="G14" s="34"/>
      <c r="H14" s="34"/>
      <c r="I14" s="29"/>
      <c r="J14" s="29"/>
      <c r="K14" s="29"/>
      <c r="L14" s="29"/>
      <c r="M14" s="29"/>
      <c r="N14" s="29"/>
      <c r="O14" s="29"/>
      <c r="P14" s="30"/>
    </row>
    <row r="15" ht="19.5" customHeight="1">
      <c r="B15" s="25"/>
      <c r="C15" s="38" t="s">
        <v>120</v>
      </c>
      <c r="D15" s="39" t="str">
        <f>VLOOKUP(C10,'Formato descripción HU'!B3:K8,3,0)</f>
        <v/>
      </c>
      <c r="E15" s="40"/>
      <c r="F15" s="29"/>
      <c r="G15" s="38" t="s">
        <v>121</v>
      </c>
      <c r="H15" s="39" t="str">
        <f>VLOOKUP(C10,'Formato descripción HU'!B3:K8,4,0)</f>
        <v/>
      </c>
      <c r="I15" s="41"/>
      <c r="J15" s="40"/>
      <c r="K15" s="29"/>
      <c r="L15" s="38" t="s">
        <v>122</v>
      </c>
      <c r="M15" s="39" t="str">
        <f>VLOOKUP(C10,'Formato descripción HU'!B3:K8,6,0)</f>
        <v>El programa debe permitir a los Jefes subir información sobre las actividades a realizar.</v>
      </c>
      <c r="N15" s="41"/>
      <c r="O15" s="40"/>
      <c r="P15" s="30"/>
    </row>
    <row r="16" ht="19.5" customHeight="1">
      <c r="B16" s="25"/>
      <c r="C16" s="42"/>
      <c r="D16" s="43"/>
      <c r="E16" s="44"/>
      <c r="F16" s="29"/>
      <c r="G16" s="42"/>
      <c r="H16" s="43"/>
      <c r="J16" s="44"/>
      <c r="K16" s="29"/>
      <c r="L16" s="42"/>
      <c r="M16" s="43"/>
      <c r="O16" s="44"/>
      <c r="P16" s="30"/>
    </row>
    <row r="17" ht="19.5" customHeight="1">
      <c r="B17" s="25"/>
      <c r="C17" s="45"/>
      <c r="D17" s="46"/>
      <c r="E17" s="47"/>
      <c r="F17" s="29"/>
      <c r="G17" s="45"/>
      <c r="H17" s="46"/>
      <c r="I17" s="48"/>
      <c r="J17" s="47"/>
      <c r="K17" s="29"/>
      <c r="L17" s="45"/>
      <c r="M17" s="46"/>
      <c r="N17" s="48"/>
      <c r="O17" s="47"/>
      <c r="P17" s="30"/>
    </row>
    <row r="18" ht="9.75" customHeight="1">
      <c r="B18" s="25"/>
      <c r="C18" s="29"/>
      <c r="D18" s="29"/>
      <c r="E18" s="29"/>
      <c r="F18" s="29"/>
      <c r="G18" s="34"/>
      <c r="H18" s="34"/>
      <c r="I18" s="34"/>
      <c r="J18" s="29"/>
      <c r="K18" s="29"/>
      <c r="L18" s="29"/>
      <c r="M18" s="29"/>
      <c r="N18" s="29"/>
      <c r="O18" s="29"/>
      <c r="P18" s="30"/>
    </row>
    <row r="19" ht="19.5" customHeight="1">
      <c r="B19" s="25"/>
      <c r="C19" s="49" t="s">
        <v>123</v>
      </c>
      <c r="D19" s="40"/>
      <c r="E19" s="50" t="str">
        <f>VLOOKUP(C10,'Formato descripción HU'!B3:K8,14,0)</f>
        <v>#REF!</v>
      </c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30"/>
    </row>
    <row r="20" ht="19.5" customHeight="1">
      <c r="B20" s="25"/>
      <c r="C20" s="46"/>
      <c r="D20" s="47"/>
      <c r="E20" s="53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30"/>
    </row>
    <row r="21" ht="9.75" customHeight="1">
      <c r="B21" s="25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</row>
    <row r="22" ht="19.5" customHeight="1">
      <c r="B22" s="25"/>
      <c r="C22" s="56" t="s">
        <v>124</v>
      </c>
      <c r="D22" s="40"/>
      <c r="E22" s="39" t="str">
        <f>VLOOKUP(C10,'Formato descripción HU'!B3:K8,12,0)</f>
        <v>#REF!</v>
      </c>
      <c r="F22" s="41"/>
      <c r="G22" s="41"/>
      <c r="H22" s="40"/>
      <c r="I22" s="29"/>
      <c r="J22" s="56" t="s">
        <v>125</v>
      </c>
      <c r="K22" s="40"/>
      <c r="L22" s="57" t="str">
        <f>VLOOKUP(C10,'Formato descripción HU'!B3:K8,13,0)</f>
        <v>#REF!</v>
      </c>
      <c r="M22" s="41"/>
      <c r="N22" s="41"/>
      <c r="O22" s="40"/>
      <c r="P22" s="30"/>
    </row>
    <row r="23" ht="19.5" customHeight="1">
      <c r="B23" s="25"/>
      <c r="C23" s="43"/>
      <c r="D23" s="44"/>
      <c r="E23" s="43"/>
      <c r="H23" s="44"/>
      <c r="I23" s="29"/>
      <c r="J23" s="43"/>
      <c r="K23" s="44"/>
      <c r="L23" s="43"/>
      <c r="O23" s="44"/>
      <c r="P23" s="30"/>
    </row>
    <row r="24" ht="19.5" customHeight="1">
      <c r="B24" s="25"/>
      <c r="C24" s="46"/>
      <c r="D24" s="47"/>
      <c r="E24" s="46"/>
      <c r="F24" s="48"/>
      <c r="G24" s="48"/>
      <c r="H24" s="47"/>
      <c r="I24" s="29"/>
      <c r="J24" s="46"/>
      <c r="K24" s="47"/>
      <c r="L24" s="46"/>
      <c r="M24" s="48"/>
      <c r="N24" s="48"/>
      <c r="O24" s="47"/>
      <c r="P24" s="30"/>
    </row>
    <row r="25" ht="9.75" customHeight="1"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HU'!$B$3:$B$8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